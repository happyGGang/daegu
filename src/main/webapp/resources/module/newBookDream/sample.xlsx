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_tool\WORKSPACE_GROUP\workspace_etc\GBELIB\src\main\webapp\resources\module\newBookDream\"/>
    </mc:Choice>
  </mc:AlternateContent>
  <bookViews>
    <workbookView xWindow="0" yWindow="0" windowWidth="15300" windowHeight="760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58" i="1" l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38" i="1" l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13" i="1" l="1"/>
  <c r="H14" i="1"/>
  <c r="H15" i="1"/>
  <c r="H16" i="1"/>
  <c r="H17" i="1"/>
  <c r="H18" i="1"/>
  <c r="H19" i="1"/>
  <c r="H20" i="1"/>
  <c r="H21" i="1"/>
  <c r="H22" i="1"/>
  <c r="H23" i="1"/>
  <c r="H24" i="1"/>
  <c r="H58" i="1" l="1"/>
</calcChain>
</file>

<file path=xl/sharedStrings.xml><?xml version="1.0" encoding="utf-8"?>
<sst xmlns="http://schemas.openxmlformats.org/spreadsheetml/2006/main" count="251" uniqueCount="160">
  <si>
    <t>서명</t>
  </si>
  <si>
    <t>저자</t>
  </si>
  <si>
    <t>발행자</t>
  </si>
  <si>
    <t>발행년</t>
  </si>
  <si>
    <t>책수</t>
  </si>
  <si>
    <t>연번</t>
    <phoneticPr fontId="1" type="noConversion"/>
  </si>
  <si>
    <t>합계</t>
    <phoneticPr fontId="1" type="noConversion"/>
  </si>
  <si>
    <t>신청자</t>
    <phoneticPr fontId="1" type="noConversion"/>
  </si>
  <si>
    <t>이용일자</t>
    <phoneticPr fontId="1" type="noConversion"/>
  </si>
  <si>
    <t>협약서점</t>
    <phoneticPr fontId="1" type="noConversion"/>
  </si>
  <si>
    <t>단가(원)</t>
    <phoneticPr fontId="1" type="noConversion"/>
  </si>
  <si>
    <t>가격(원)</t>
    <phoneticPr fontId="1" type="noConversion"/>
  </si>
  <si>
    <t>박건이</t>
    <phoneticPr fontId="1" type="noConversion"/>
  </si>
  <si>
    <t>황라온</t>
    <phoneticPr fontId="1" type="noConversion"/>
  </si>
  <si>
    <t>세종서적</t>
    <phoneticPr fontId="1" type="noConversion"/>
  </si>
  <si>
    <t>비룡소</t>
    <phoneticPr fontId="1" type="noConversion"/>
  </si>
  <si>
    <t>황광호</t>
    <phoneticPr fontId="1" type="noConversion"/>
  </si>
  <si>
    <t>산타 할아버지 아프리카에 오다</t>
    <phoneticPr fontId="1" type="noConversion"/>
  </si>
  <si>
    <t>김병수</t>
    <phoneticPr fontId="1" type="noConversion"/>
  </si>
  <si>
    <t>형설아이</t>
    <phoneticPr fontId="1" type="noConversion"/>
  </si>
  <si>
    <t>산타 할아버지 중국에 오다</t>
    <phoneticPr fontId="1" type="noConversion"/>
  </si>
  <si>
    <t>형설아이</t>
    <phoneticPr fontId="1" type="noConversion"/>
  </si>
  <si>
    <t>산타 할아버지 조선에 오다</t>
    <phoneticPr fontId="1" type="noConversion"/>
  </si>
  <si>
    <t>형설아이</t>
    <phoneticPr fontId="1" type="noConversion"/>
  </si>
  <si>
    <t>인성마법사 클린베어</t>
    <phoneticPr fontId="1" type="noConversion"/>
  </si>
  <si>
    <t>클린콘텐츠국민운동본부</t>
    <phoneticPr fontId="1" type="noConversion"/>
  </si>
  <si>
    <t>우리 집에 코끼리가 산다</t>
    <phoneticPr fontId="1" type="noConversion"/>
  </si>
  <si>
    <t>윤해연</t>
    <phoneticPr fontId="1" type="noConversion"/>
  </si>
  <si>
    <t>덤벼라, 지우개 괴물</t>
    <phoneticPr fontId="1" type="noConversion"/>
  </si>
  <si>
    <t>조성자</t>
    <phoneticPr fontId="1" type="noConversion"/>
  </si>
  <si>
    <t>현암주니어</t>
    <phoneticPr fontId="1" type="noConversion"/>
  </si>
  <si>
    <t>노지선</t>
    <phoneticPr fontId="1" type="noConversion"/>
  </si>
  <si>
    <t>이주홍</t>
    <phoneticPr fontId="1" type="noConversion"/>
  </si>
  <si>
    <t>박종관</t>
    <phoneticPr fontId="1" type="noConversion"/>
  </si>
  <si>
    <t>현대서점</t>
    <phoneticPr fontId="1" type="noConversion"/>
  </si>
  <si>
    <t>현대서점</t>
    <phoneticPr fontId="1" type="noConversion"/>
  </si>
  <si>
    <t>동물나라의 디자이너 여우</t>
    <phoneticPr fontId="1" type="noConversion"/>
  </si>
  <si>
    <t>이미영</t>
    <phoneticPr fontId="1" type="noConversion"/>
  </si>
  <si>
    <t>곤충을 왜 먹어요</t>
    <phoneticPr fontId="1" type="noConversion"/>
  </si>
  <si>
    <t>이수지</t>
    <phoneticPr fontId="1" type="noConversion"/>
  </si>
  <si>
    <t>큰북소리</t>
    <phoneticPr fontId="1" type="noConversion"/>
  </si>
  <si>
    <t>끝없는 게임 1</t>
    <phoneticPr fontId="1" type="noConversion"/>
  </si>
  <si>
    <t>R.A.몽고메리</t>
    <phoneticPr fontId="1" type="noConversion"/>
  </si>
  <si>
    <t>고릴라박스</t>
    <phoneticPr fontId="1" type="noConversion"/>
  </si>
  <si>
    <t>끝없는 게임 2</t>
    <phoneticPr fontId="1" type="noConversion"/>
  </si>
  <si>
    <t>R.A.몽고메리</t>
    <phoneticPr fontId="1" type="noConversion"/>
  </si>
  <si>
    <t>고릴라박스</t>
    <phoneticPr fontId="1" type="noConversion"/>
  </si>
  <si>
    <t>숙제 안 하는 게 더 힘들어</t>
    <phoneticPr fontId="1" type="noConversion"/>
  </si>
  <si>
    <t>야마모토 에쓰코</t>
    <phoneticPr fontId="1" type="noConversion"/>
  </si>
  <si>
    <t>책과콩나무</t>
    <phoneticPr fontId="1" type="noConversion"/>
  </si>
  <si>
    <t>그릿</t>
    <phoneticPr fontId="1" type="noConversion"/>
  </si>
  <si>
    <t>앤절라 더크워스</t>
    <phoneticPr fontId="1" type="noConversion"/>
  </si>
  <si>
    <t>비즈니스북스</t>
    <phoneticPr fontId="1" type="noConversion"/>
  </si>
  <si>
    <t>덤프차가 꽈당</t>
    <phoneticPr fontId="1" type="noConversion"/>
  </si>
  <si>
    <t>오하시 에미코</t>
    <phoneticPr fontId="1" type="noConversion"/>
  </si>
  <si>
    <t>길벗어린이</t>
    <phoneticPr fontId="1" type="noConversion"/>
  </si>
  <si>
    <t>아빠와 자동차</t>
    <phoneticPr fontId="1" type="noConversion"/>
  </si>
  <si>
    <t>저예</t>
    <phoneticPr fontId="1" type="noConversion"/>
  </si>
  <si>
    <t>어썸키즈</t>
    <phoneticPr fontId="1" type="noConversion"/>
  </si>
  <si>
    <t>버스가 야단법석</t>
    <phoneticPr fontId="1" type="noConversion"/>
  </si>
  <si>
    <t>톰 스키너</t>
    <phoneticPr fontId="1" type="noConversion"/>
  </si>
  <si>
    <t>어썸키즈</t>
    <phoneticPr fontId="1" type="noConversion"/>
  </si>
  <si>
    <t>요리조리 열어보는 비행기와 공항</t>
    <phoneticPr fontId="1" type="noConversion"/>
  </si>
  <si>
    <t>롭 로이드 존스</t>
    <phoneticPr fontId="1" type="noConversion"/>
  </si>
  <si>
    <t>어스본코리아</t>
    <phoneticPr fontId="1" type="noConversion"/>
  </si>
  <si>
    <t>지저분하고 냄새 지독한 구리구리 선장의 생일파티</t>
    <phoneticPr fontId="1" type="noConversion"/>
  </si>
  <si>
    <t>루시 코츠</t>
    <phoneticPr fontId="1" type="noConversion"/>
  </si>
  <si>
    <t>사파리</t>
    <phoneticPr fontId="1" type="noConversion"/>
  </si>
  <si>
    <t>잔인하고 치명적인 파충류의 무법자</t>
    <phoneticPr fontId="1" type="noConversion"/>
  </si>
  <si>
    <t>매슈 레이크</t>
    <phoneticPr fontId="1" type="noConversion"/>
  </si>
  <si>
    <t>봄나무</t>
    <phoneticPr fontId="1" type="noConversion"/>
  </si>
  <si>
    <t>화산이 폭발했다</t>
    <phoneticPr fontId="1" type="noConversion"/>
  </si>
  <si>
    <t>김호남</t>
    <phoneticPr fontId="1" type="noConversion"/>
  </si>
  <si>
    <t>센트럴라이즈드</t>
    <phoneticPr fontId="1" type="noConversion"/>
  </si>
  <si>
    <t>로봇박사 테오</t>
    <phoneticPr fontId="1" type="noConversion"/>
  </si>
  <si>
    <t>센트럴라이즈드</t>
    <phoneticPr fontId="1" type="noConversion"/>
  </si>
  <si>
    <t>쉽고 재밌는 시계와 시간</t>
    <phoneticPr fontId="1" type="noConversion"/>
  </si>
  <si>
    <t>로지 호어</t>
    <phoneticPr fontId="1" type="noConversion"/>
  </si>
  <si>
    <t>어스본코리아</t>
    <phoneticPr fontId="1" type="noConversion"/>
  </si>
  <si>
    <t>요리조리 열어보는 생활속 과학</t>
    <phoneticPr fontId="1" type="noConversion"/>
  </si>
  <si>
    <t>미나 레이시</t>
    <phoneticPr fontId="1" type="noConversion"/>
  </si>
  <si>
    <t>김장하는 날은 우리 동네 잔칫날</t>
    <phoneticPr fontId="1" type="noConversion"/>
  </si>
  <si>
    <t>이규희</t>
    <phoneticPr fontId="1" type="noConversion"/>
  </si>
  <si>
    <t>그린북</t>
    <phoneticPr fontId="1" type="noConversion"/>
  </si>
  <si>
    <t>신통방통 규칙 찾기</t>
    <phoneticPr fontId="1" type="noConversion"/>
  </si>
  <si>
    <t>서지원</t>
    <phoneticPr fontId="1" type="noConversion"/>
  </si>
  <si>
    <t>좋은책어린이</t>
    <phoneticPr fontId="1" type="noConversion"/>
  </si>
  <si>
    <t>그림의 힘 1-2</t>
    <phoneticPr fontId="1" type="noConversion"/>
  </si>
  <si>
    <t>김선현</t>
    <phoneticPr fontId="1" type="noConversion"/>
  </si>
  <si>
    <t>에이트포인트</t>
    <phoneticPr fontId="1" type="noConversion"/>
  </si>
  <si>
    <t>신동엽, 성시경은 오늘 뭐 먹지</t>
    <phoneticPr fontId="1" type="noConversion"/>
  </si>
  <si>
    <t>Olive제작팀</t>
    <phoneticPr fontId="1" type="noConversion"/>
  </si>
  <si>
    <t>중앙북스</t>
    <phoneticPr fontId="1" type="noConversion"/>
  </si>
  <si>
    <t>황해온</t>
    <phoneticPr fontId="1" type="noConversion"/>
  </si>
  <si>
    <t>백시온</t>
    <phoneticPr fontId="1" type="noConversion"/>
  </si>
  <si>
    <t>백온유</t>
    <phoneticPr fontId="1" type="noConversion"/>
  </si>
  <si>
    <t>백종민</t>
    <phoneticPr fontId="1" type="noConversion"/>
  </si>
  <si>
    <t>오늘부터 손글씨</t>
    <phoneticPr fontId="1" type="noConversion"/>
  </si>
  <si>
    <t>티애</t>
    <phoneticPr fontId="1" type="noConversion"/>
  </si>
  <si>
    <t>중앙북스</t>
    <phoneticPr fontId="1" type="noConversion"/>
  </si>
  <si>
    <t>나의 첫 번째 홈베이킹</t>
    <phoneticPr fontId="1" type="noConversion"/>
  </si>
  <si>
    <t>최지연</t>
    <phoneticPr fontId="1" type="noConversion"/>
  </si>
  <si>
    <t>비타북스</t>
    <phoneticPr fontId="1" type="noConversion"/>
  </si>
  <si>
    <t>거미</t>
    <phoneticPr fontId="1" type="noConversion"/>
  </si>
  <si>
    <t>엘리즈 그라벨</t>
    <phoneticPr fontId="1" type="noConversion"/>
  </si>
  <si>
    <t>씨드북</t>
    <phoneticPr fontId="1" type="noConversion"/>
  </si>
  <si>
    <t>지렁이</t>
    <phoneticPr fontId="1" type="noConversion"/>
  </si>
  <si>
    <t>엘리즈 그라벨</t>
    <phoneticPr fontId="1" type="noConversion"/>
  </si>
  <si>
    <t>파리</t>
    <phoneticPr fontId="1" type="noConversion"/>
  </si>
  <si>
    <t>개의 힘1</t>
    <phoneticPr fontId="1" type="noConversion"/>
  </si>
  <si>
    <t>돈 윈슬로</t>
    <phoneticPr fontId="1" type="noConversion"/>
  </si>
  <si>
    <t>황금가지</t>
    <phoneticPr fontId="1" type="noConversion"/>
  </si>
  <si>
    <t>개의 힘2</t>
    <phoneticPr fontId="1" type="noConversion"/>
  </si>
  <si>
    <t>돈 윈슬로</t>
    <phoneticPr fontId="1" type="noConversion"/>
  </si>
  <si>
    <t>황금가지</t>
    <phoneticPr fontId="1" type="noConversion"/>
  </si>
  <si>
    <t>엄마 친구, 아저씨가 나타났다</t>
    <phoneticPr fontId="1" type="noConversion"/>
  </si>
  <si>
    <t>박현숙</t>
    <phoneticPr fontId="1" type="noConversion"/>
  </si>
  <si>
    <t>좋은책어린이</t>
    <phoneticPr fontId="1" type="noConversion"/>
  </si>
  <si>
    <t>출동 완료 쌍둥이 탐정</t>
    <phoneticPr fontId="1" type="noConversion"/>
  </si>
  <si>
    <t>우리 선생님은 바람둥이</t>
    <phoneticPr fontId="1" type="noConversion"/>
  </si>
  <si>
    <t>송재환</t>
    <phoneticPr fontId="1" type="noConversion"/>
  </si>
  <si>
    <t>계림북스</t>
    <phoneticPr fontId="1" type="noConversion"/>
  </si>
  <si>
    <t>내 이름이 어때서</t>
    <phoneticPr fontId="1" type="noConversion"/>
  </si>
  <si>
    <t>고릴라 미용실</t>
    <phoneticPr fontId="1" type="noConversion"/>
  </si>
  <si>
    <t>박준희</t>
    <phoneticPr fontId="1" type="noConversion"/>
  </si>
  <si>
    <t>책고래</t>
    <phoneticPr fontId="1" type="noConversion"/>
  </si>
  <si>
    <t>난 뭐든지 할 수 있어</t>
    <phoneticPr fontId="1" type="noConversion"/>
  </si>
  <si>
    <t>하인츠 야니쉬</t>
    <phoneticPr fontId="1" type="noConversion"/>
  </si>
  <si>
    <t>나무상자</t>
    <phoneticPr fontId="1" type="noConversion"/>
  </si>
  <si>
    <t>송재환 선생님의 초등1학년 생활 가이드</t>
    <phoneticPr fontId="1" type="noConversion"/>
  </si>
  <si>
    <t>예담프렌드</t>
    <phoneticPr fontId="1" type="noConversion"/>
  </si>
  <si>
    <t>늑대가 위험하다는 게 사실인가요</t>
    <phoneticPr fontId="1" type="noConversion"/>
  </si>
  <si>
    <t>세키 유코</t>
    <phoneticPr fontId="1" type="noConversion"/>
  </si>
  <si>
    <t>낸시 클랜시 사랑의 메신저가 되다</t>
    <phoneticPr fontId="1" type="noConversion"/>
  </si>
  <si>
    <t>제인 오코너</t>
    <phoneticPr fontId="1" type="noConversion"/>
  </si>
  <si>
    <t>국민서관</t>
    <phoneticPr fontId="1" type="noConversion"/>
  </si>
  <si>
    <t>시작할 때 그 마음으로</t>
    <phoneticPr fontId="1" type="noConversion"/>
  </si>
  <si>
    <t>법정</t>
    <phoneticPr fontId="1" type="noConversion"/>
  </si>
  <si>
    <t>책읽는섬</t>
    <phoneticPr fontId="1" type="noConversion"/>
  </si>
  <si>
    <t>악기보다 음악</t>
    <phoneticPr fontId="1" type="noConversion"/>
  </si>
  <si>
    <t>김연수</t>
    <phoneticPr fontId="1" type="noConversion"/>
  </si>
  <si>
    <t>끌리는책</t>
    <phoneticPr fontId="1" type="noConversion"/>
  </si>
  <si>
    <t>모나드의 영역</t>
    <phoneticPr fontId="1" type="noConversion"/>
  </si>
  <si>
    <t>츠츠이 야스타카</t>
    <phoneticPr fontId="1" type="noConversion"/>
  </si>
  <si>
    <t>은행나무</t>
    <phoneticPr fontId="1" type="noConversion"/>
  </si>
  <si>
    <t>새 책 드림 서비스 도서구입목록</t>
    <phoneticPr fontId="1" type="noConversion"/>
  </si>
  <si>
    <t>김지영</t>
    <phoneticPr fontId="1" type="noConversion"/>
  </si>
  <si>
    <t>김병한</t>
    <phoneticPr fontId="1" type="noConversion"/>
  </si>
  <si>
    <t>( 53종  58책  671,500원)</t>
    <phoneticPr fontId="1" type="noConversion"/>
  </si>
  <si>
    <t>&lt;/jx:forEach&gt;</t>
  </si>
  <si>
    <t>&lt;jx:forEach var="i" items="${list}" varStatus="status"&gt;</t>
    <phoneticPr fontId="1" type="noConversion"/>
  </si>
  <si>
    <t>${status.index}</t>
    <phoneticPr fontId="1" type="noConversion"/>
  </si>
  <si>
    <t>${i.r_name}</t>
    <phoneticPr fontId="1" type="noConversion"/>
  </si>
  <si>
    <t>${i.r_pay}</t>
    <phoneticPr fontId="1" type="noConversion"/>
  </si>
  <si>
    <t>${i.r_pubdate}</t>
    <phoneticPr fontId="1" type="noConversion"/>
  </si>
  <si>
    <t>${i.r_publisher}</t>
    <phoneticPr fontId="1" type="noConversion"/>
  </si>
  <si>
    <t>${i.r_author}</t>
    <phoneticPr fontId="1" type="noConversion"/>
  </si>
  <si>
    <t>${i.r_title}</t>
    <phoneticPr fontId="1" type="noConversion"/>
  </si>
  <si>
    <t>${i.r_created}</t>
    <phoneticPr fontId="1" type="noConversion"/>
  </si>
  <si>
    <t>${i.storeCode}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</si>
</sst>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3" fontId="4" fillId="0" borderId="5" xfId="0" applyNumberFormat="1" applyFont="1" applyBorder="1">
      <alignment vertical="center"/>
    </xf>
    <xf numFmtId="0" fontId="4" fillId="0" borderId="6" xfId="0" applyFont="1" applyBorder="1">
      <alignment vertical="center"/>
    </xf>
    <xf numFmtId="41" fontId="4" fillId="0" borderId="5" xfId="1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shrinkToFit="1"/>
    </xf>
    <xf numFmtId="41" fontId="4" fillId="2" borderId="8" xfId="0" applyNumberFormat="1" applyFont="1" applyFill="1" applyBorder="1" applyAlignment="1">
      <alignment horizontal="right" vertical="center"/>
    </xf>
    <xf numFmtId="41" fontId="4" fillId="2" borderId="8" xfId="0" applyNumberFormat="1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workbookViewId="0">
      <selection activeCell="B8" sqref="B8"/>
    </sheetView>
  </sheetViews>
  <sheetFormatPr defaultRowHeight="16.5" x14ac:dyDescent="0.3"/>
  <cols>
    <col min="1" max="1" width="4.75" style="1" customWidth="1"/>
    <col min="2" max="2" width="25.625" customWidth="1"/>
    <col min="3" max="3" width="7.5" customWidth="1"/>
    <col min="5" max="5" width="6.625" style="1" customWidth="1"/>
    <col min="6" max="6" width="4.75" style="1" customWidth="1"/>
    <col min="7" max="7" width="7.875" customWidth="1"/>
    <col min="8" max="8" width="7.5" customWidth="1"/>
    <col min="9" max="9" width="6.625" customWidth="1"/>
    <col min="10" max="10" width="9.375" customWidth="1"/>
    <col min="11" max="11" width="8.875" customWidth="1"/>
  </cols>
  <sheetData>
    <row r="1" spans="1:11" ht="27" customHeight="1" x14ac:dyDescent="0.3">
      <c r="A1" s="20" t="s">
        <v>145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8.75" customHeight="1" x14ac:dyDescent="0.3">
      <c r="A2" s="19" t="s">
        <v>148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8" customHeight="1" thickBot="1" x14ac:dyDescent="0.35"/>
    <row r="4" spans="1:11" ht="19.5" customHeight="1" x14ac:dyDescent="0.3">
      <c r="A4" s="2" t="s">
        <v>5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10</v>
      </c>
      <c r="H4" s="3" t="s">
        <v>11</v>
      </c>
      <c r="I4" s="3" t="s">
        <v>7</v>
      </c>
      <c r="J4" s="3" t="s">
        <v>8</v>
      </c>
      <c r="K4" s="4" t="s">
        <v>9</v>
      </c>
    </row>
    <row r="5" spans="1:11" s="12" customFormat="1" ht="19.5" customHeight="1" x14ac:dyDescent="0.3">
      <c r="A5" s="11" t="s">
        <v>150</v>
      </c>
      <c r="B5" s="15"/>
      <c r="C5" s="15"/>
      <c r="D5" s="15"/>
      <c r="E5" s="13"/>
      <c r="F5" s="13"/>
      <c r="G5" s="16"/>
      <c r="H5" s="17"/>
      <c r="I5" s="13"/>
      <c r="J5" s="18"/>
      <c r="K5" s="14"/>
    </row>
    <row r="6" spans="1:11" s="12" customFormat="1" ht="19.5" customHeight="1" x14ac:dyDescent="0.3">
      <c r="A6" s="11" t="s">
        <v>151</v>
      </c>
      <c r="B6" s="15" t="s">
        <v>157</v>
      </c>
      <c r="C6" s="15" t="s">
        <v>156</v>
      </c>
      <c r="D6" s="15" t="s">
        <v>155</v>
      </c>
      <c r="E6" s="15" t="s">
        <v>154</v>
      </c>
      <c r="F6" s="15">
        <v>1</v>
      </c>
      <c r="G6" s="15" t="s">
        <v>153</v>
      </c>
      <c r="H6" s="15" t="s">
        <v>153</v>
      </c>
      <c r="I6" s="15" t="s">
        <v>152</v>
      </c>
      <c r="J6" s="15" t="s">
        <v>158</v>
      </c>
      <c r="K6" s="15" t="s">
        <v>159</v>
      </c>
    </row>
    <row r="7" spans="1:11" s="12" customFormat="1" ht="19.5" customHeight="1" x14ac:dyDescent="0.3">
      <c r="A7" s="11" t="s">
        <v>149</v>
      </c>
      <c r="B7" s="15"/>
      <c r="C7" s="15"/>
      <c r="D7" s="15"/>
      <c r="E7" s="13"/>
      <c r="F7" s="13"/>
      <c r="G7" s="16"/>
      <c r="H7" s="17"/>
      <c r="I7" s="13"/>
      <c r="J7" s="18"/>
      <c r="K7" s="14"/>
    </row>
    <row r="8" spans="1:11" s="12" customFormat="1" ht="19.5" customHeight="1" x14ac:dyDescent="0.3">
      <c r="A8" s="11"/>
      <c r="B8" s="15"/>
      <c r="C8" s="15"/>
      <c r="D8" s="15"/>
      <c r="E8" s="13"/>
      <c r="F8" s="13"/>
      <c r="G8" s="16"/>
      <c r="H8" s="17"/>
      <c r="I8" s="13"/>
      <c r="J8" s="18"/>
      <c r="K8" s="14"/>
    </row>
    <row r="9" spans="1:11" s="12" customFormat="1" ht="19.5" customHeight="1" x14ac:dyDescent="0.3">
      <c r="A9" s="11"/>
      <c r="B9" s="15"/>
      <c r="C9" s="15"/>
      <c r="D9" s="15"/>
      <c r="E9" s="13"/>
      <c r="F9" s="13"/>
      <c r="G9" s="16"/>
      <c r="H9" s="17"/>
      <c r="I9" s="13"/>
      <c r="J9" s="18"/>
      <c r="K9" s="14"/>
    </row>
    <row r="10" spans="1:11" s="12" customFormat="1" ht="19.5" customHeight="1" x14ac:dyDescent="0.3">
      <c r="A10" s="11"/>
      <c r="B10" s="15"/>
      <c r="C10" s="15"/>
      <c r="D10" s="15"/>
      <c r="E10" s="13"/>
      <c r="F10" s="13"/>
      <c r="G10" s="16"/>
      <c r="H10" s="17"/>
      <c r="I10" s="13"/>
      <c r="J10" s="18"/>
      <c r="K10" s="14"/>
    </row>
    <row r="11" spans="1:11" s="12" customFormat="1" ht="19.5" customHeight="1" x14ac:dyDescent="0.3">
      <c r="A11" s="11"/>
      <c r="B11" s="15"/>
      <c r="C11" s="15"/>
      <c r="D11" s="15"/>
      <c r="E11" s="13"/>
      <c r="F11" s="13"/>
      <c r="G11" s="16"/>
      <c r="H11" s="17"/>
      <c r="I11" s="13"/>
      <c r="J11" s="18"/>
      <c r="K11" s="14"/>
    </row>
    <row r="12" spans="1:11" s="12" customFormat="1" ht="19.5" customHeight="1" x14ac:dyDescent="0.3">
      <c r="A12" s="11"/>
      <c r="B12" s="15"/>
      <c r="C12" s="15"/>
      <c r="D12" s="15"/>
      <c r="E12" s="13"/>
      <c r="F12" s="13"/>
      <c r="G12" s="16"/>
      <c r="H12" s="17"/>
      <c r="I12" s="13"/>
      <c r="J12" s="18"/>
      <c r="K12" s="14"/>
    </row>
    <row r="13" spans="1:11" s="12" customFormat="1" ht="19.5" customHeight="1" x14ac:dyDescent="0.3">
      <c r="A13" s="11">
        <v>9</v>
      </c>
      <c r="B13" s="15" t="s">
        <v>17</v>
      </c>
      <c r="C13" s="15" t="s">
        <v>18</v>
      </c>
      <c r="D13" s="15" t="s">
        <v>19</v>
      </c>
      <c r="E13" s="13">
        <v>2016</v>
      </c>
      <c r="F13" s="13">
        <v>1</v>
      </c>
      <c r="G13" s="16">
        <v>9800</v>
      </c>
      <c r="H13" s="17">
        <f t="shared" ref="H6:H57" si="0">F13*G13</f>
        <v>9800</v>
      </c>
      <c r="I13" s="13" t="s">
        <v>32</v>
      </c>
      <c r="J13" s="18">
        <v>42711</v>
      </c>
      <c r="K13" s="14" t="s">
        <v>34</v>
      </c>
    </row>
    <row r="14" spans="1:11" s="12" customFormat="1" ht="19.5" customHeight="1" x14ac:dyDescent="0.3">
      <c r="A14" s="11">
        <v>10</v>
      </c>
      <c r="B14" s="15" t="s">
        <v>20</v>
      </c>
      <c r="C14" s="15" t="s">
        <v>18</v>
      </c>
      <c r="D14" s="15" t="s">
        <v>21</v>
      </c>
      <c r="E14" s="13">
        <v>2016</v>
      </c>
      <c r="F14" s="13">
        <v>1</v>
      </c>
      <c r="G14" s="16">
        <v>9800</v>
      </c>
      <c r="H14" s="17">
        <f t="shared" si="0"/>
        <v>9800</v>
      </c>
      <c r="I14" s="13" t="s">
        <v>32</v>
      </c>
      <c r="J14" s="18">
        <v>42711</v>
      </c>
      <c r="K14" s="14" t="s">
        <v>34</v>
      </c>
    </row>
    <row r="15" spans="1:11" s="12" customFormat="1" ht="19.5" customHeight="1" x14ac:dyDescent="0.3">
      <c r="A15" s="11">
        <v>11</v>
      </c>
      <c r="B15" s="15" t="s">
        <v>22</v>
      </c>
      <c r="C15" s="15" t="s">
        <v>18</v>
      </c>
      <c r="D15" s="15" t="s">
        <v>23</v>
      </c>
      <c r="E15" s="13">
        <v>2014</v>
      </c>
      <c r="F15" s="13">
        <v>1</v>
      </c>
      <c r="G15" s="16">
        <v>9800</v>
      </c>
      <c r="H15" s="17">
        <f t="shared" si="0"/>
        <v>9800</v>
      </c>
      <c r="I15" s="13" t="s">
        <v>12</v>
      </c>
      <c r="J15" s="18">
        <v>42711</v>
      </c>
      <c r="K15" s="14" t="s">
        <v>34</v>
      </c>
    </row>
    <row r="16" spans="1:11" s="12" customFormat="1" ht="19.5" customHeight="1" x14ac:dyDescent="0.3">
      <c r="A16" s="11">
        <v>12</v>
      </c>
      <c r="B16" s="15" t="s">
        <v>24</v>
      </c>
      <c r="C16" s="15" t="s">
        <v>25</v>
      </c>
      <c r="D16" s="15" t="s">
        <v>23</v>
      </c>
      <c r="E16" s="13">
        <v>2016</v>
      </c>
      <c r="F16" s="13">
        <v>1</v>
      </c>
      <c r="G16" s="16">
        <v>9500</v>
      </c>
      <c r="H16" s="17">
        <f t="shared" si="0"/>
        <v>9500</v>
      </c>
      <c r="I16" s="13" t="s">
        <v>12</v>
      </c>
      <c r="J16" s="18">
        <v>42711</v>
      </c>
      <c r="K16" s="14" t="s">
        <v>35</v>
      </c>
    </row>
    <row r="17" spans="1:11" s="12" customFormat="1" ht="19.5" customHeight="1" x14ac:dyDescent="0.3">
      <c r="A17" s="11">
        <v>13</v>
      </c>
      <c r="B17" s="15" t="s">
        <v>26</v>
      </c>
      <c r="C17" s="15" t="s">
        <v>27</v>
      </c>
      <c r="D17" s="15" t="s">
        <v>15</v>
      </c>
      <c r="E17" s="13">
        <v>2016</v>
      </c>
      <c r="F17" s="13">
        <v>1</v>
      </c>
      <c r="G17" s="16">
        <v>9000</v>
      </c>
      <c r="H17" s="17">
        <f t="shared" si="0"/>
        <v>9000</v>
      </c>
      <c r="I17" s="13" t="s">
        <v>33</v>
      </c>
      <c r="J17" s="18">
        <v>42711</v>
      </c>
      <c r="K17" s="14" t="s">
        <v>34</v>
      </c>
    </row>
    <row r="18" spans="1:11" s="12" customFormat="1" ht="19.5" customHeight="1" x14ac:dyDescent="0.3">
      <c r="A18" s="11">
        <v>14</v>
      </c>
      <c r="B18" s="15" t="s">
        <v>28</v>
      </c>
      <c r="C18" s="15" t="s">
        <v>29</v>
      </c>
      <c r="D18" s="15" t="s">
        <v>30</v>
      </c>
      <c r="E18" s="13">
        <v>2016</v>
      </c>
      <c r="F18" s="13">
        <v>1</v>
      </c>
      <c r="G18" s="16">
        <v>10000</v>
      </c>
      <c r="H18" s="17">
        <f t="shared" si="0"/>
        <v>10000</v>
      </c>
      <c r="I18" s="13" t="s">
        <v>32</v>
      </c>
      <c r="J18" s="18">
        <v>42712</v>
      </c>
      <c r="K18" s="14" t="s">
        <v>35</v>
      </c>
    </row>
    <row r="19" spans="1:11" s="12" customFormat="1" ht="19.5" customHeight="1" x14ac:dyDescent="0.3">
      <c r="A19" s="11">
        <v>15</v>
      </c>
      <c r="B19" s="15" t="s">
        <v>36</v>
      </c>
      <c r="C19" s="15" t="s">
        <v>37</v>
      </c>
      <c r="D19" s="15" t="s">
        <v>15</v>
      </c>
      <c r="E19" s="13">
        <v>2016</v>
      </c>
      <c r="F19" s="13">
        <v>1</v>
      </c>
      <c r="G19" s="16">
        <v>13000</v>
      </c>
      <c r="H19" s="17">
        <f t="shared" si="0"/>
        <v>13000</v>
      </c>
      <c r="I19" s="13" t="s">
        <v>32</v>
      </c>
      <c r="J19" s="18">
        <v>42712</v>
      </c>
      <c r="K19" s="14" t="s">
        <v>34</v>
      </c>
    </row>
    <row r="20" spans="1:11" s="12" customFormat="1" ht="19.5" customHeight="1" x14ac:dyDescent="0.3">
      <c r="A20" s="11">
        <v>16</v>
      </c>
      <c r="B20" s="15" t="s">
        <v>38</v>
      </c>
      <c r="C20" s="15" t="s">
        <v>39</v>
      </c>
      <c r="D20" s="15" t="s">
        <v>40</v>
      </c>
      <c r="E20" s="13">
        <v>2016</v>
      </c>
      <c r="F20" s="13">
        <v>1</v>
      </c>
      <c r="G20" s="16">
        <v>11500</v>
      </c>
      <c r="H20" s="17">
        <f t="shared" si="0"/>
        <v>11500</v>
      </c>
      <c r="I20" s="13" t="s">
        <v>12</v>
      </c>
      <c r="J20" s="18">
        <v>42712</v>
      </c>
      <c r="K20" s="14" t="s">
        <v>34</v>
      </c>
    </row>
    <row r="21" spans="1:11" s="12" customFormat="1" ht="19.5" customHeight="1" x14ac:dyDescent="0.3">
      <c r="A21" s="11">
        <v>17</v>
      </c>
      <c r="B21" s="15" t="s">
        <v>41</v>
      </c>
      <c r="C21" s="15" t="s">
        <v>42</v>
      </c>
      <c r="D21" s="15" t="s">
        <v>43</v>
      </c>
      <c r="E21" s="13">
        <v>2016</v>
      </c>
      <c r="F21" s="13">
        <v>1</v>
      </c>
      <c r="G21" s="16">
        <v>8500</v>
      </c>
      <c r="H21" s="17">
        <f t="shared" si="0"/>
        <v>8500</v>
      </c>
      <c r="I21" s="13" t="s">
        <v>12</v>
      </c>
      <c r="J21" s="18">
        <v>42712</v>
      </c>
      <c r="K21" s="14" t="s">
        <v>34</v>
      </c>
    </row>
    <row r="22" spans="1:11" s="12" customFormat="1" ht="19.5" customHeight="1" x14ac:dyDescent="0.3">
      <c r="A22" s="11">
        <v>18</v>
      </c>
      <c r="B22" s="15" t="s">
        <v>44</v>
      </c>
      <c r="C22" s="15" t="s">
        <v>45</v>
      </c>
      <c r="D22" s="15" t="s">
        <v>46</v>
      </c>
      <c r="E22" s="13">
        <v>2016</v>
      </c>
      <c r="F22" s="13">
        <v>1</v>
      </c>
      <c r="G22" s="16">
        <v>8500</v>
      </c>
      <c r="H22" s="17">
        <f t="shared" si="0"/>
        <v>8500</v>
      </c>
      <c r="I22" s="13" t="s">
        <v>33</v>
      </c>
      <c r="J22" s="18">
        <v>42712</v>
      </c>
      <c r="K22" s="14" t="s">
        <v>34</v>
      </c>
    </row>
    <row r="23" spans="1:11" s="12" customFormat="1" ht="19.5" customHeight="1" x14ac:dyDescent="0.3">
      <c r="A23" s="11">
        <v>19</v>
      </c>
      <c r="B23" s="15" t="s">
        <v>47</v>
      </c>
      <c r="C23" s="15" t="s">
        <v>48</v>
      </c>
      <c r="D23" s="15" t="s">
        <v>49</v>
      </c>
      <c r="E23" s="13">
        <v>2016</v>
      </c>
      <c r="F23" s="13">
        <v>1</v>
      </c>
      <c r="G23" s="16">
        <v>10000</v>
      </c>
      <c r="H23" s="17">
        <f t="shared" si="0"/>
        <v>10000</v>
      </c>
      <c r="I23" s="13" t="s">
        <v>33</v>
      </c>
      <c r="J23" s="18">
        <v>42712</v>
      </c>
      <c r="K23" s="14" t="s">
        <v>34</v>
      </c>
    </row>
    <row r="24" spans="1:11" s="12" customFormat="1" ht="19.5" customHeight="1" x14ac:dyDescent="0.3">
      <c r="A24" s="11">
        <v>20</v>
      </c>
      <c r="B24" s="15" t="s">
        <v>50</v>
      </c>
      <c r="C24" s="15" t="s">
        <v>51</v>
      </c>
      <c r="D24" s="15" t="s">
        <v>52</v>
      </c>
      <c r="E24" s="13">
        <v>2016</v>
      </c>
      <c r="F24" s="13">
        <v>1</v>
      </c>
      <c r="G24" s="16">
        <v>16000</v>
      </c>
      <c r="H24" s="17">
        <f t="shared" si="0"/>
        <v>16000</v>
      </c>
      <c r="I24" s="13" t="s">
        <v>33</v>
      </c>
      <c r="J24" s="18">
        <v>42713</v>
      </c>
      <c r="K24" s="14" t="s">
        <v>34</v>
      </c>
    </row>
    <row r="25" spans="1:11" s="12" customFormat="1" ht="19.5" customHeight="1" x14ac:dyDescent="0.3">
      <c r="A25" s="11">
        <v>21</v>
      </c>
      <c r="B25" s="15" t="s">
        <v>53</v>
      </c>
      <c r="C25" s="15" t="s">
        <v>54</v>
      </c>
      <c r="D25" s="15" t="s">
        <v>55</v>
      </c>
      <c r="E25" s="13">
        <v>2016</v>
      </c>
      <c r="F25" s="13">
        <v>1</v>
      </c>
      <c r="G25" s="16">
        <v>9000</v>
      </c>
      <c r="H25" s="17">
        <f t="shared" si="0"/>
        <v>9000</v>
      </c>
      <c r="I25" s="13" t="s">
        <v>31</v>
      </c>
      <c r="J25" s="18">
        <v>42715</v>
      </c>
      <c r="K25" s="14" t="s">
        <v>14</v>
      </c>
    </row>
    <row r="26" spans="1:11" s="12" customFormat="1" ht="19.5" customHeight="1" x14ac:dyDescent="0.3">
      <c r="A26" s="11">
        <v>22</v>
      </c>
      <c r="B26" s="15" t="s">
        <v>56</v>
      </c>
      <c r="C26" s="15" t="s">
        <v>57</v>
      </c>
      <c r="D26" s="15" t="s">
        <v>58</v>
      </c>
      <c r="E26" s="13">
        <v>2016</v>
      </c>
      <c r="F26" s="13">
        <v>1</v>
      </c>
      <c r="G26" s="16">
        <v>11000</v>
      </c>
      <c r="H26" s="17">
        <f t="shared" si="0"/>
        <v>11000</v>
      </c>
      <c r="I26" s="13" t="s">
        <v>31</v>
      </c>
      <c r="J26" s="18">
        <v>42715</v>
      </c>
      <c r="K26" s="14" t="s">
        <v>14</v>
      </c>
    </row>
    <row r="27" spans="1:11" s="12" customFormat="1" ht="19.5" customHeight="1" x14ac:dyDescent="0.3">
      <c r="A27" s="11">
        <v>23</v>
      </c>
      <c r="B27" s="15" t="s">
        <v>59</v>
      </c>
      <c r="C27" s="15" t="s">
        <v>60</v>
      </c>
      <c r="D27" s="15" t="s">
        <v>61</v>
      </c>
      <c r="E27" s="13">
        <v>2016</v>
      </c>
      <c r="F27" s="13">
        <v>1</v>
      </c>
      <c r="G27" s="16">
        <v>11000</v>
      </c>
      <c r="H27" s="17">
        <f t="shared" si="0"/>
        <v>11000</v>
      </c>
      <c r="I27" s="13" t="s">
        <v>16</v>
      </c>
      <c r="J27" s="18">
        <v>42715</v>
      </c>
      <c r="K27" s="14" t="s">
        <v>14</v>
      </c>
    </row>
    <row r="28" spans="1:11" s="12" customFormat="1" ht="19.5" customHeight="1" x14ac:dyDescent="0.3">
      <c r="A28" s="11">
        <v>24</v>
      </c>
      <c r="B28" s="15" t="s">
        <v>62</v>
      </c>
      <c r="C28" s="15" t="s">
        <v>63</v>
      </c>
      <c r="D28" s="15" t="s">
        <v>64</v>
      </c>
      <c r="E28" s="13">
        <v>2016</v>
      </c>
      <c r="F28" s="13">
        <v>1</v>
      </c>
      <c r="G28" s="16">
        <v>13000</v>
      </c>
      <c r="H28" s="17">
        <f t="shared" si="0"/>
        <v>13000</v>
      </c>
      <c r="I28" s="13" t="s">
        <v>16</v>
      </c>
      <c r="J28" s="18">
        <v>42715</v>
      </c>
      <c r="K28" s="14" t="s">
        <v>14</v>
      </c>
    </row>
    <row r="29" spans="1:11" s="12" customFormat="1" ht="19.5" customHeight="1" x14ac:dyDescent="0.3">
      <c r="A29" s="11">
        <v>25</v>
      </c>
      <c r="B29" s="15" t="s">
        <v>65</v>
      </c>
      <c r="C29" s="15" t="s">
        <v>66</v>
      </c>
      <c r="D29" s="15" t="s">
        <v>67</v>
      </c>
      <c r="E29" s="13">
        <v>2016</v>
      </c>
      <c r="F29" s="13">
        <v>1</v>
      </c>
      <c r="G29" s="16">
        <v>11000</v>
      </c>
      <c r="H29" s="17">
        <f t="shared" si="0"/>
        <v>11000</v>
      </c>
      <c r="I29" s="13" t="s">
        <v>13</v>
      </c>
      <c r="J29" s="18">
        <v>42715</v>
      </c>
      <c r="K29" s="14" t="s">
        <v>14</v>
      </c>
    </row>
    <row r="30" spans="1:11" s="12" customFormat="1" ht="19.5" customHeight="1" x14ac:dyDescent="0.3">
      <c r="A30" s="11">
        <v>26</v>
      </c>
      <c r="B30" s="15" t="s">
        <v>68</v>
      </c>
      <c r="C30" s="15" t="s">
        <v>69</v>
      </c>
      <c r="D30" s="15" t="s">
        <v>70</v>
      </c>
      <c r="E30" s="13">
        <v>2016</v>
      </c>
      <c r="F30" s="13">
        <v>1</v>
      </c>
      <c r="G30" s="16">
        <v>10000</v>
      </c>
      <c r="H30" s="17">
        <f t="shared" si="0"/>
        <v>10000</v>
      </c>
      <c r="I30" s="13" t="s">
        <v>13</v>
      </c>
      <c r="J30" s="18">
        <v>42715</v>
      </c>
      <c r="K30" s="14" t="s">
        <v>14</v>
      </c>
    </row>
    <row r="31" spans="1:11" s="12" customFormat="1" ht="19.5" customHeight="1" x14ac:dyDescent="0.3">
      <c r="A31" s="11">
        <v>27</v>
      </c>
      <c r="B31" s="15" t="s">
        <v>71</v>
      </c>
      <c r="C31" s="15" t="s">
        <v>72</v>
      </c>
      <c r="D31" s="15" t="s">
        <v>73</v>
      </c>
      <c r="E31" s="13">
        <v>2016</v>
      </c>
      <c r="F31" s="13">
        <v>1</v>
      </c>
      <c r="G31" s="16">
        <v>12000</v>
      </c>
      <c r="H31" s="17">
        <f t="shared" si="0"/>
        <v>12000</v>
      </c>
      <c r="I31" s="13" t="s">
        <v>93</v>
      </c>
      <c r="J31" s="18">
        <v>42715</v>
      </c>
      <c r="K31" s="14" t="s">
        <v>14</v>
      </c>
    </row>
    <row r="32" spans="1:11" s="12" customFormat="1" ht="19.5" customHeight="1" x14ac:dyDescent="0.3">
      <c r="A32" s="11">
        <v>28</v>
      </c>
      <c r="B32" s="15" t="s">
        <v>74</v>
      </c>
      <c r="C32" s="15" t="s">
        <v>72</v>
      </c>
      <c r="D32" s="15" t="s">
        <v>75</v>
      </c>
      <c r="E32" s="13">
        <v>2014</v>
      </c>
      <c r="F32" s="13">
        <v>1</v>
      </c>
      <c r="G32" s="16">
        <v>12000</v>
      </c>
      <c r="H32" s="17">
        <f t="shared" si="0"/>
        <v>12000</v>
      </c>
      <c r="I32" s="13" t="s">
        <v>93</v>
      </c>
      <c r="J32" s="18">
        <v>42718</v>
      </c>
      <c r="K32" s="14" t="s">
        <v>14</v>
      </c>
    </row>
    <row r="33" spans="1:11" s="12" customFormat="1" ht="19.5" customHeight="1" x14ac:dyDescent="0.3">
      <c r="A33" s="11">
        <v>29</v>
      </c>
      <c r="B33" s="15" t="s">
        <v>76</v>
      </c>
      <c r="C33" s="15" t="s">
        <v>77</v>
      </c>
      <c r="D33" s="15" t="s">
        <v>78</v>
      </c>
      <c r="E33" s="13">
        <v>2016</v>
      </c>
      <c r="F33" s="13">
        <v>1</v>
      </c>
      <c r="G33" s="16">
        <v>14000</v>
      </c>
      <c r="H33" s="17">
        <f t="shared" si="0"/>
        <v>14000</v>
      </c>
      <c r="I33" s="13" t="s">
        <v>94</v>
      </c>
      <c r="J33" s="18">
        <v>42718</v>
      </c>
      <c r="K33" s="14" t="s">
        <v>14</v>
      </c>
    </row>
    <row r="34" spans="1:11" s="12" customFormat="1" ht="19.5" customHeight="1" x14ac:dyDescent="0.3">
      <c r="A34" s="11">
        <v>30</v>
      </c>
      <c r="B34" s="15" t="s">
        <v>79</v>
      </c>
      <c r="C34" s="15" t="s">
        <v>80</v>
      </c>
      <c r="D34" s="15" t="s">
        <v>78</v>
      </c>
      <c r="E34" s="13">
        <v>2016</v>
      </c>
      <c r="F34" s="13">
        <v>1</v>
      </c>
      <c r="G34" s="16">
        <v>13000</v>
      </c>
      <c r="H34" s="17">
        <f t="shared" si="0"/>
        <v>13000</v>
      </c>
      <c r="I34" s="13" t="s">
        <v>94</v>
      </c>
      <c r="J34" s="18">
        <v>42718</v>
      </c>
      <c r="K34" s="14" t="s">
        <v>14</v>
      </c>
    </row>
    <row r="35" spans="1:11" s="12" customFormat="1" ht="19.5" customHeight="1" x14ac:dyDescent="0.3">
      <c r="A35" s="11">
        <v>31</v>
      </c>
      <c r="B35" s="15" t="s">
        <v>81</v>
      </c>
      <c r="C35" s="15" t="s">
        <v>82</v>
      </c>
      <c r="D35" s="15" t="s">
        <v>83</v>
      </c>
      <c r="E35" s="13">
        <v>2016</v>
      </c>
      <c r="F35" s="13">
        <v>1</v>
      </c>
      <c r="G35" s="16">
        <v>12000</v>
      </c>
      <c r="H35" s="17">
        <f t="shared" si="0"/>
        <v>12000</v>
      </c>
      <c r="I35" s="13" t="s">
        <v>95</v>
      </c>
      <c r="J35" s="18">
        <v>42718</v>
      </c>
      <c r="K35" s="14" t="s">
        <v>14</v>
      </c>
    </row>
    <row r="36" spans="1:11" s="12" customFormat="1" ht="19.5" customHeight="1" x14ac:dyDescent="0.3">
      <c r="A36" s="11">
        <v>32</v>
      </c>
      <c r="B36" s="15" t="s">
        <v>84</v>
      </c>
      <c r="C36" s="15" t="s">
        <v>85</v>
      </c>
      <c r="D36" s="15" t="s">
        <v>86</v>
      </c>
      <c r="E36" s="13">
        <v>2016</v>
      </c>
      <c r="F36" s="13">
        <v>1</v>
      </c>
      <c r="G36" s="16">
        <v>8500</v>
      </c>
      <c r="H36" s="17">
        <f t="shared" si="0"/>
        <v>8500</v>
      </c>
      <c r="I36" s="13" t="s">
        <v>95</v>
      </c>
      <c r="J36" s="18">
        <v>42718</v>
      </c>
      <c r="K36" s="14" t="s">
        <v>14</v>
      </c>
    </row>
    <row r="37" spans="1:11" s="12" customFormat="1" ht="19.5" customHeight="1" x14ac:dyDescent="0.3">
      <c r="A37" s="11">
        <v>33</v>
      </c>
      <c r="B37" s="15" t="s">
        <v>87</v>
      </c>
      <c r="C37" s="15" t="s">
        <v>88</v>
      </c>
      <c r="D37" s="15" t="s">
        <v>89</v>
      </c>
      <c r="E37" s="13">
        <v>2016</v>
      </c>
      <c r="F37" s="13">
        <v>2</v>
      </c>
      <c r="G37" s="16">
        <v>18800</v>
      </c>
      <c r="H37" s="17">
        <f t="shared" si="0"/>
        <v>37600</v>
      </c>
      <c r="I37" s="13" t="s">
        <v>96</v>
      </c>
      <c r="J37" s="18">
        <v>42718</v>
      </c>
      <c r="K37" s="14" t="s">
        <v>14</v>
      </c>
    </row>
    <row r="38" spans="1:11" s="12" customFormat="1" ht="19.5" customHeight="1" x14ac:dyDescent="0.3">
      <c r="A38" s="11">
        <v>34</v>
      </c>
      <c r="B38" s="15" t="s">
        <v>90</v>
      </c>
      <c r="C38" s="15" t="s">
        <v>91</v>
      </c>
      <c r="D38" s="15" t="s">
        <v>92</v>
      </c>
      <c r="E38" s="13">
        <v>2016</v>
      </c>
      <c r="F38" s="13">
        <v>1</v>
      </c>
      <c r="G38" s="16">
        <v>18000</v>
      </c>
      <c r="H38" s="17">
        <f t="shared" si="0"/>
        <v>18000</v>
      </c>
      <c r="I38" s="13" t="s">
        <v>96</v>
      </c>
      <c r="J38" s="18">
        <v>42718</v>
      </c>
      <c r="K38" s="14" t="s">
        <v>14</v>
      </c>
    </row>
    <row r="39" spans="1:11" s="12" customFormat="1" ht="19.5" customHeight="1" x14ac:dyDescent="0.3">
      <c r="A39" s="11">
        <v>35</v>
      </c>
      <c r="B39" s="15" t="s">
        <v>97</v>
      </c>
      <c r="C39" s="15" t="s">
        <v>98</v>
      </c>
      <c r="D39" s="15" t="s">
        <v>99</v>
      </c>
      <c r="E39" s="13">
        <v>2016</v>
      </c>
      <c r="F39" s="13">
        <v>1</v>
      </c>
      <c r="G39" s="16">
        <v>15000</v>
      </c>
      <c r="H39" s="17">
        <f t="shared" si="0"/>
        <v>15000</v>
      </c>
      <c r="I39" s="13" t="s">
        <v>146</v>
      </c>
      <c r="J39" s="18">
        <v>42718</v>
      </c>
      <c r="K39" s="14" t="s">
        <v>14</v>
      </c>
    </row>
    <row r="40" spans="1:11" s="12" customFormat="1" ht="19.5" customHeight="1" x14ac:dyDescent="0.3">
      <c r="A40" s="11">
        <v>36</v>
      </c>
      <c r="B40" s="15" t="s">
        <v>100</v>
      </c>
      <c r="C40" s="15" t="s">
        <v>101</v>
      </c>
      <c r="D40" s="15" t="s">
        <v>102</v>
      </c>
      <c r="E40" s="13">
        <v>2016</v>
      </c>
      <c r="F40" s="13">
        <v>1</v>
      </c>
      <c r="G40" s="16">
        <v>15000</v>
      </c>
      <c r="H40" s="17">
        <f t="shared" si="0"/>
        <v>15000</v>
      </c>
      <c r="I40" s="13" t="s">
        <v>146</v>
      </c>
      <c r="J40" s="18">
        <v>42718</v>
      </c>
      <c r="K40" s="14" t="s">
        <v>14</v>
      </c>
    </row>
    <row r="41" spans="1:11" s="12" customFormat="1" ht="19.5" customHeight="1" x14ac:dyDescent="0.3">
      <c r="A41" s="11">
        <v>37</v>
      </c>
      <c r="B41" s="15" t="s">
        <v>103</v>
      </c>
      <c r="C41" s="15" t="s">
        <v>104</v>
      </c>
      <c r="D41" s="15" t="s">
        <v>105</v>
      </c>
      <c r="E41" s="13">
        <v>2016</v>
      </c>
      <c r="F41" s="13">
        <v>1</v>
      </c>
      <c r="G41" s="16">
        <v>11000</v>
      </c>
      <c r="H41" s="17">
        <f t="shared" si="0"/>
        <v>11000</v>
      </c>
      <c r="I41" s="13" t="s">
        <v>13</v>
      </c>
      <c r="J41" s="18">
        <v>42718</v>
      </c>
      <c r="K41" s="14" t="s">
        <v>14</v>
      </c>
    </row>
    <row r="42" spans="1:11" s="12" customFormat="1" ht="19.5" customHeight="1" x14ac:dyDescent="0.3">
      <c r="A42" s="11">
        <v>38</v>
      </c>
      <c r="B42" s="15" t="s">
        <v>106</v>
      </c>
      <c r="C42" s="15" t="s">
        <v>107</v>
      </c>
      <c r="D42" s="15" t="s">
        <v>105</v>
      </c>
      <c r="E42" s="13">
        <v>2016</v>
      </c>
      <c r="F42" s="13">
        <v>1</v>
      </c>
      <c r="G42" s="16">
        <v>11000</v>
      </c>
      <c r="H42" s="17">
        <f t="shared" si="0"/>
        <v>11000</v>
      </c>
      <c r="I42" s="13" t="s">
        <v>93</v>
      </c>
      <c r="J42" s="18">
        <v>42718</v>
      </c>
      <c r="K42" s="14" t="s">
        <v>14</v>
      </c>
    </row>
    <row r="43" spans="1:11" s="12" customFormat="1" ht="19.5" customHeight="1" x14ac:dyDescent="0.3">
      <c r="A43" s="11">
        <v>39</v>
      </c>
      <c r="B43" s="15" t="s">
        <v>108</v>
      </c>
      <c r="C43" s="15" t="s">
        <v>107</v>
      </c>
      <c r="D43" s="15" t="s">
        <v>105</v>
      </c>
      <c r="E43" s="13">
        <v>2016</v>
      </c>
      <c r="F43" s="13">
        <v>1</v>
      </c>
      <c r="G43" s="16">
        <v>11000</v>
      </c>
      <c r="H43" s="17">
        <f t="shared" si="0"/>
        <v>11000</v>
      </c>
      <c r="I43" s="13" t="s">
        <v>93</v>
      </c>
      <c r="J43" s="18">
        <v>42718</v>
      </c>
      <c r="K43" s="14" t="s">
        <v>14</v>
      </c>
    </row>
    <row r="44" spans="1:11" s="12" customFormat="1" ht="19.5" customHeight="1" x14ac:dyDescent="0.3">
      <c r="A44" s="11">
        <v>40</v>
      </c>
      <c r="B44" s="15" t="s">
        <v>109</v>
      </c>
      <c r="C44" s="15" t="s">
        <v>110</v>
      </c>
      <c r="D44" s="15" t="s">
        <v>111</v>
      </c>
      <c r="E44" s="13">
        <v>2012</v>
      </c>
      <c r="F44" s="13">
        <v>1</v>
      </c>
      <c r="G44" s="16">
        <v>13000</v>
      </c>
      <c r="H44" s="17">
        <f t="shared" si="0"/>
        <v>13000</v>
      </c>
      <c r="I44" s="13" t="s">
        <v>147</v>
      </c>
      <c r="J44" s="18">
        <v>42724</v>
      </c>
      <c r="K44" s="14" t="s">
        <v>14</v>
      </c>
    </row>
    <row r="45" spans="1:11" s="12" customFormat="1" ht="19.5" customHeight="1" x14ac:dyDescent="0.3">
      <c r="A45" s="11">
        <v>41</v>
      </c>
      <c r="B45" s="15" t="s">
        <v>112</v>
      </c>
      <c r="C45" s="15" t="s">
        <v>113</v>
      </c>
      <c r="D45" s="15" t="s">
        <v>114</v>
      </c>
      <c r="E45" s="13">
        <v>2012</v>
      </c>
      <c r="F45" s="13">
        <v>1</v>
      </c>
      <c r="G45" s="16">
        <v>13000</v>
      </c>
      <c r="H45" s="17">
        <f t="shared" si="0"/>
        <v>13000</v>
      </c>
      <c r="I45" s="13" t="s">
        <v>147</v>
      </c>
      <c r="J45" s="18">
        <v>42724</v>
      </c>
      <c r="K45" s="14" t="s">
        <v>14</v>
      </c>
    </row>
    <row r="46" spans="1:11" s="12" customFormat="1" ht="19.5" customHeight="1" x14ac:dyDescent="0.3">
      <c r="A46" s="11">
        <v>42</v>
      </c>
      <c r="B46" s="15" t="s">
        <v>115</v>
      </c>
      <c r="C46" s="15" t="s">
        <v>116</v>
      </c>
      <c r="D46" s="15" t="s">
        <v>117</v>
      </c>
      <c r="E46" s="13">
        <v>2016</v>
      </c>
      <c r="F46" s="13">
        <v>1</v>
      </c>
      <c r="G46" s="16">
        <v>8500</v>
      </c>
      <c r="H46" s="17">
        <f t="shared" si="0"/>
        <v>8500</v>
      </c>
      <c r="I46" s="13" t="s">
        <v>32</v>
      </c>
      <c r="J46" s="18">
        <v>42739</v>
      </c>
      <c r="K46" s="14" t="s">
        <v>34</v>
      </c>
    </row>
    <row r="47" spans="1:11" s="12" customFormat="1" ht="19.5" customHeight="1" x14ac:dyDescent="0.3">
      <c r="A47" s="11">
        <v>43</v>
      </c>
      <c r="B47" s="15" t="s">
        <v>118</v>
      </c>
      <c r="C47" s="15" t="s">
        <v>85</v>
      </c>
      <c r="D47" s="15" t="s">
        <v>117</v>
      </c>
      <c r="E47" s="13">
        <v>2016</v>
      </c>
      <c r="F47" s="13">
        <v>1</v>
      </c>
      <c r="G47" s="16">
        <v>8500</v>
      </c>
      <c r="H47" s="17">
        <f t="shared" si="0"/>
        <v>8500</v>
      </c>
      <c r="I47" s="13" t="s">
        <v>32</v>
      </c>
      <c r="J47" s="18">
        <v>42739</v>
      </c>
      <c r="K47" s="14" t="s">
        <v>34</v>
      </c>
    </row>
    <row r="48" spans="1:11" s="12" customFormat="1" ht="19.5" customHeight="1" x14ac:dyDescent="0.3">
      <c r="A48" s="11">
        <v>44</v>
      </c>
      <c r="B48" s="15" t="s">
        <v>119</v>
      </c>
      <c r="C48" s="15" t="s">
        <v>120</v>
      </c>
      <c r="D48" s="15" t="s">
        <v>121</v>
      </c>
      <c r="E48" s="13">
        <v>2016</v>
      </c>
      <c r="F48" s="13">
        <v>1</v>
      </c>
      <c r="G48" s="16">
        <v>8000</v>
      </c>
      <c r="H48" s="17">
        <f t="shared" si="0"/>
        <v>8000</v>
      </c>
      <c r="I48" s="13" t="s">
        <v>12</v>
      </c>
      <c r="J48" s="18">
        <v>42739</v>
      </c>
      <c r="K48" s="14" t="s">
        <v>34</v>
      </c>
    </row>
    <row r="49" spans="1:11" s="12" customFormat="1" ht="19.5" customHeight="1" x14ac:dyDescent="0.3">
      <c r="A49" s="11">
        <v>45</v>
      </c>
      <c r="B49" s="15" t="s">
        <v>122</v>
      </c>
      <c r="C49" s="15" t="s">
        <v>29</v>
      </c>
      <c r="D49" s="15" t="s">
        <v>117</v>
      </c>
      <c r="E49" s="13">
        <v>2016</v>
      </c>
      <c r="F49" s="13">
        <v>1</v>
      </c>
      <c r="G49" s="16">
        <v>8500</v>
      </c>
      <c r="H49" s="17">
        <f t="shared" si="0"/>
        <v>8500</v>
      </c>
      <c r="I49" s="13" t="s">
        <v>12</v>
      </c>
      <c r="J49" s="18">
        <v>42739</v>
      </c>
      <c r="K49" s="14" t="s">
        <v>34</v>
      </c>
    </row>
    <row r="50" spans="1:11" s="12" customFormat="1" ht="19.5" customHeight="1" x14ac:dyDescent="0.3">
      <c r="A50" s="11">
        <v>46</v>
      </c>
      <c r="B50" s="15" t="s">
        <v>123</v>
      </c>
      <c r="C50" s="15" t="s">
        <v>124</v>
      </c>
      <c r="D50" s="15" t="s">
        <v>125</v>
      </c>
      <c r="E50" s="13">
        <v>2017</v>
      </c>
      <c r="F50" s="13">
        <v>1</v>
      </c>
      <c r="G50" s="16">
        <v>11000</v>
      </c>
      <c r="H50" s="17">
        <f t="shared" si="0"/>
        <v>11000</v>
      </c>
      <c r="I50" s="13" t="s">
        <v>33</v>
      </c>
      <c r="J50" s="18">
        <v>42739</v>
      </c>
      <c r="K50" s="14" t="s">
        <v>34</v>
      </c>
    </row>
    <row r="51" spans="1:11" s="12" customFormat="1" ht="19.5" customHeight="1" x14ac:dyDescent="0.3">
      <c r="A51" s="11">
        <v>47</v>
      </c>
      <c r="B51" s="15" t="s">
        <v>126</v>
      </c>
      <c r="C51" s="15" t="s">
        <v>127</v>
      </c>
      <c r="D51" s="15" t="s">
        <v>128</v>
      </c>
      <c r="E51" s="13">
        <v>2016</v>
      </c>
      <c r="F51" s="13">
        <v>1</v>
      </c>
      <c r="G51" s="16">
        <v>11000</v>
      </c>
      <c r="H51" s="17">
        <f t="shared" si="0"/>
        <v>11000</v>
      </c>
      <c r="I51" s="13" t="s">
        <v>33</v>
      </c>
      <c r="J51" s="18">
        <v>42739</v>
      </c>
      <c r="K51" s="14" t="s">
        <v>34</v>
      </c>
    </row>
    <row r="52" spans="1:11" s="12" customFormat="1" ht="19.5" customHeight="1" x14ac:dyDescent="0.3">
      <c r="A52" s="11">
        <v>48</v>
      </c>
      <c r="B52" s="15" t="s">
        <v>129</v>
      </c>
      <c r="C52" s="15" t="s">
        <v>120</v>
      </c>
      <c r="D52" s="15" t="s">
        <v>130</v>
      </c>
      <c r="E52" s="13">
        <v>2016</v>
      </c>
      <c r="F52" s="13">
        <v>5</v>
      </c>
      <c r="G52" s="16">
        <v>9900</v>
      </c>
      <c r="H52" s="17">
        <f t="shared" si="0"/>
        <v>49500</v>
      </c>
      <c r="I52" s="13" t="s">
        <v>32</v>
      </c>
      <c r="J52" s="18">
        <v>42740</v>
      </c>
      <c r="K52" s="14" t="s">
        <v>34</v>
      </c>
    </row>
    <row r="53" spans="1:11" s="12" customFormat="1" ht="19.5" customHeight="1" x14ac:dyDescent="0.3">
      <c r="A53" s="11">
        <v>49</v>
      </c>
      <c r="B53" s="15" t="s">
        <v>131</v>
      </c>
      <c r="C53" s="15" t="s">
        <v>132</v>
      </c>
      <c r="D53" s="15" t="s">
        <v>70</v>
      </c>
      <c r="E53" s="13">
        <v>2016</v>
      </c>
      <c r="F53" s="13">
        <v>1</v>
      </c>
      <c r="G53" s="16">
        <v>11000</v>
      </c>
      <c r="H53" s="17">
        <f t="shared" si="0"/>
        <v>11000</v>
      </c>
      <c r="I53" s="13" t="s">
        <v>32</v>
      </c>
      <c r="J53" s="18">
        <v>42740</v>
      </c>
      <c r="K53" s="14" t="s">
        <v>34</v>
      </c>
    </row>
    <row r="54" spans="1:11" s="12" customFormat="1" ht="19.5" customHeight="1" x14ac:dyDescent="0.3">
      <c r="A54" s="11">
        <v>50</v>
      </c>
      <c r="B54" s="15" t="s">
        <v>133</v>
      </c>
      <c r="C54" s="15" t="s">
        <v>134</v>
      </c>
      <c r="D54" s="15" t="s">
        <v>135</v>
      </c>
      <c r="E54" s="13">
        <v>2016</v>
      </c>
      <c r="F54" s="13">
        <v>1</v>
      </c>
      <c r="G54" s="16">
        <v>9000</v>
      </c>
      <c r="H54" s="17">
        <f t="shared" si="0"/>
        <v>9000</v>
      </c>
      <c r="I54" s="13" t="s">
        <v>12</v>
      </c>
      <c r="J54" s="18">
        <v>42740</v>
      </c>
      <c r="K54" s="14" t="s">
        <v>34</v>
      </c>
    </row>
    <row r="55" spans="1:11" s="12" customFormat="1" ht="19.5" customHeight="1" x14ac:dyDescent="0.3">
      <c r="A55" s="11">
        <v>51</v>
      </c>
      <c r="B55" s="15" t="s">
        <v>136</v>
      </c>
      <c r="C55" s="15" t="s">
        <v>137</v>
      </c>
      <c r="D55" s="15" t="s">
        <v>138</v>
      </c>
      <c r="E55" s="13">
        <v>2017</v>
      </c>
      <c r="F55" s="13">
        <v>1</v>
      </c>
      <c r="G55" s="16">
        <v>12800</v>
      </c>
      <c r="H55" s="17">
        <f t="shared" si="0"/>
        <v>12800</v>
      </c>
      <c r="I55" s="13" t="s">
        <v>12</v>
      </c>
      <c r="J55" s="18">
        <v>42740</v>
      </c>
      <c r="K55" s="14" t="s">
        <v>34</v>
      </c>
    </row>
    <row r="56" spans="1:11" s="12" customFormat="1" ht="19.5" customHeight="1" x14ac:dyDescent="0.3">
      <c r="A56" s="11">
        <v>52</v>
      </c>
      <c r="B56" s="15" t="s">
        <v>139</v>
      </c>
      <c r="C56" s="15" t="s">
        <v>140</v>
      </c>
      <c r="D56" s="15" t="s">
        <v>141</v>
      </c>
      <c r="E56" s="13">
        <v>2017</v>
      </c>
      <c r="F56" s="13">
        <v>1</v>
      </c>
      <c r="G56" s="16">
        <v>13800</v>
      </c>
      <c r="H56" s="17">
        <f t="shared" si="0"/>
        <v>13800</v>
      </c>
      <c r="I56" s="13" t="s">
        <v>33</v>
      </c>
      <c r="J56" s="18">
        <v>42740</v>
      </c>
      <c r="K56" s="14" t="s">
        <v>34</v>
      </c>
    </row>
    <row r="57" spans="1:11" s="12" customFormat="1" ht="19.5" customHeight="1" thickBot="1" x14ac:dyDescent="0.35">
      <c r="A57" s="11">
        <v>53</v>
      </c>
      <c r="B57" s="15" t="s">
        <v>142</v>
      </c>
      <c r="C57" s="15" t="s">
        <v>143</v>
      </c>
      <c r="D57" s="15" t="s">
        <v>144</v>
      </c>
      <c r="E57" s="13">
        <v>2016</v>
      </c>
      <c r="F57" s="13">
        <v>1</v>
      </c>
      <c r="G57" s="16">
        <v>13000</v>
      </c>
      <c r="H57" s="17">
        <f t="shared" si="0"/>
        <v>13000</v>
      </c>
      <c r="I57" s="13" t="s">
        <v>33</v>
      </c>
      <c r="J57" s="18">
        <v>42740</v>
      </c>
      <c r="K57" s="14" t="s">
        <v>34</v>
      </c>
    </row>
    <row r="58" spans="1:11" ht="19.5" customHeight="1" thickBot="1" x14ac:dyDescent="0.35">
      <c r="A58" s="5" t="s">
        <v>6</v>
      </c>
      <c r="B58" s="6"/>
      <c r="C58" s="6"/>
      <c r="D58" s="6"/>
      <c r="E58" s="7"/>
      <c r="F58" s="7">
        <f>SUM(F5:F57)</f>
        <v>51</v>
      </c>
      <c r="G58" s="6"/>
      <c r="H58" s="10">
        <f>SUM(H5:H57)</f>
        <v>571100</v>
      </c>
      <c r="I58" s="8"/>
      <c r="J58" s="8"/>
      <c r="K58" s="9"/>
    </row>
  </sheetData>
  <sortState ref="B5:K20">
    <sortCondition ref="J5:J20"/>
    <sortCondition ref="I5:I20"/>
    <sortCondition ref="B5:B20"/>
  </sortState>
  <mergeCells count="2">
    <mergeCell ref="A2:K2"/>
    <mergeCell ref="A1:K1"/>
  </mergeCells>
  <phoneticPr fontId="1" type="noConversion"/>
  <pageMargins left="0.19685039370078741" right="7.874015748031496E-2" top="0.35433070866141736" bottom="0.3543307086614173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YONGJU</cp:lastModifiedBy>
  <cp:lastPrinted>2015-05-27T00:53:12Z</cp:lastPrinted>
  <dcterms:created xsi:type="dcterms:W3CDTF">2015-01-29T05:02:10Z</dcterms:created>
  <dcterms:modified xsi:type="dcterms:W3CDTF">2017-03-08T16:06:53Z</dcterms:modified>
</cp:coreProperties>
</file>